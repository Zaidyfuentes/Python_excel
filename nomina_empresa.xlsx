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ay\Desktop\adso\Wilson\2026\guia_bigData\EA1_excel\"/>
    </mc:Choice>
  </mc:AlternateContent>
  <xr:revisionPtr revIDLastSave="0" documentId="13_ncr:1_{3C85AEB2-A10C-4F04-9F41-F8BEC690C01D}" xr6:coauthVersionLast="47" xr6:coauthVersionMax="47" xr10:uidLastSave="{00000000-0000-0000-0000-000000000000}"/>
  <bookViews>
    <workbookView xWindow="2268" yWindow="2268" windowWidth="17280" windowHeight="8880" activeTab="1" xr2:uid="{00000000-000D-0000-FFFF-FFFF00000000}"/>
  </bookViews>
  <sheets>
    <sheet name="Nomina Junio 2026" sheetId="1" r:id="rId1"/>
    <sheet name="Resumen Gerenci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<sst xmlns="http://schemas.openxmlformats.org/spreadsheetml/2006/main" count="41" uniqueCount="41">
  <si>
    <t>Documento</t>
  </si>
  <si>
    <t>Nombre</t>
  </si>
  <si>
    <t>Cargo</t>
  </si>
  <si>
    <t>Salario</t>
  </si>
  <si>
    <t>Horas Extras</t>
  </si>
  <si>
    <t>Auxilio Transporte</t>
  </si>
  <si>
    <t>Valor Hora</t>
  </si>
  <si>
    <t>Valor Hora Extra</t>
  </si>
  <si>
    <t>Total Horas Extras</t>
  </si>
  <si>
    <t>Devengado</t>
  </si>
  <si>
    <t>Salud</t>
  </si>
  <si>
    <t>Pensión</t>
  </si>
  <si>
    <t>Neto a Pagar</t>
  </si>
  <si>
    <t>Juan Perez</t>
  </si>
  <si>
    <t>Ingeniero</t>
  </si>
  <si>
    <t>Maria Gomez</t>
  </si>
  <si>
    <t>Analista</t>
  </si>
  <si>
    <t>Carlos Ruiz</t>
  </si>
  <si>
    <t>Desarrollador</t>
  </si>
  <si>
    <t>Ana Torres</t>
  </si>
  <si>
    <t>Diseñadora</t>
  </si>
  <si>
    <t>Luis Diaz</t>
  </si>
  <si>
    <t>Soporte</t>
  </si>
  <si>
    <t>Laura Castro</t>
  </si>
  <si>
    <t>QA</t>
  </si>
  <si>
    <t>Pedro Rojas</t>
  </si>
  <si>
    <t>Arquitecto</t>
  </si>
  <si>
    <t>Sofia Mendoza</t>
  </si>
  <si>
    <t>Scrum Master</t>
  </si>
  <si>
    <t>Miguel Lopez</t>
  </si>
  <si>
    <t>DevOps</t>
  </si>
  <si>
    <t>Paula Vargas</t>
  </si>
  <si>
    <t>Product Owner</t>
  </si>
  <si>
    <t>Indicador</t>
  </si>
  <si>
    <t>Valor</t>
  </si>
  <si>
    <t>Total Empleados</t>
  </si>
  <si>
    <t>Total Nomina</t>
  </si>
  <si>
    <t>Total salud descontada</t>
  </si>
  <si>
    <t>Total pension descontada</t>
  </si>
  <si>
    <t>Mayor Salario</t>
  </si>
  <si>
    <t>promedio Salarial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</si>
</sst>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G5" sqref="G5"/>
    </sheetView>
  </sheetViews>
  <sheetFormatPr baseColWidth="10" defaultColWidth="8.88671875" defaultRowHeight="14.4" x14ac:dyDescent="0.3"/>
  <cols>
    <col min="1" max="1" width="11" customWidth="1"/>
    <col min="2" max="3" width="15" customWidth="1"/>
    <col min="4" max="4" width="9" customWidth="1"/>
    <col min="5" max="5" width="14" customWidth="1"/>
    <col min="6" max="13" width="2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1111</v>
      </c>
      <c r="B2" s="2" t="s">
        <v>13</v>
      </c>
      <c r="C2" s="2" t="s">
        <v>14</v>
      </c>
      <c r="D2" s="3">
        <v>3000000</v>
      </c>
      <c r="E2" s="3">
        <v>2</v>
      </c>
      <c r="F2" s="3">
        <v>0</v>
      </c>
      <c r="G2" s="3">
        <v>12500</v>
      </c>
      <c r="H2" s="3">
        <v>15625</v>
      </c>
      <c r="I2" s="3">
        <v>31250</v>
      </c>
      <c r="J2" s="3">
        <v>3031250</v>
      </c>
      <c r="K2" s="3">
        <v>121250</v>
      </c>
      <c r="L2" s="3">
        <v>121250</v>
      </c>
      <c r="M2" s="3">
        <v>2788750</v>
      </c>
    </row>
    <row r="3" spans="1:13" x14ac:dyDescent="0.3">
      <c r="A3" s="2">
        <v>1112</v>
      </c>
      <c r="B3" s="2" t="s">
        <v>15</v>
      </c>
      <c r="C3" s="2" t="s">
        <v>16</v>
      </c>
      <c r="D3" s="3">
        <v>2500000</v>
      </c>
      <c r="E3" s="3">
        <v>3</v>
      </c>
      <c r="F3" s="3">
        <v>200000</v>
      </c>
      <c r="G3" s="3">
        <v>10416.66666666667</v>
      </c>
      <c r="H3" s="3">
        <v>13020.83333333333</v>
      </c>
      <c r="I3" s="3">
        <v>39062.5</v>
      </c>
      <c r="J3" s="3">
        <v>2739062.5</v>
      </c>
      <c r="K3" s="3">
        <v>109562.5</v>
      </c>
      <c r="L3" s="3">
        <v>109562.5</v>
      </c>
      <c r="M3" s="3">
        <v>2519937.5</v>
      </c>
    </row>
    <row r="4" spans="1:13" x14ac:dyDescent="0.3">
      <c r="A4" s="2">
        <v>1113</v>
      </c>
      <c r="B4" s="2" t="s">
        <v>17</v>
      </c>
      <c r="C4" s="2" t="s">
        <v>18</v>
      </c>
      <c r="D4" s="3">
        <v>2800000</v>
      </c>
      <c r="E4" s="3">
        <v>1</v>
      </c>
      <c r="F4" s="3">
        <v>200000</v>
      </c>
      <c r="G4" s="3">
        <v>11666.66666666667</v>
      </c>
      <c r="H4" s="3">
        <v>14583.33333333333</v>
      </c>
      <c r="I4" s="3">
        <v>14583.33333333333</v>
      </c>
      <c r="J4" s="3">
        <v>3014583.333333333</v>
      </c>
      <c r="K4" s="3">
        <v>120583.3333333333</v>
      </c>
      <c r="L4" s="3">
        <v>120583.3333333333</v>
      </c>
      <c r="M4" s="3">
        <v>2773416.666666667</v>
      </c>
    </row>
    <row r="5" spans="1:13" x14ac:dyDescent="0.3">
      <c r="A5" s="2">
        <v>1114</v>
      </c>
      <c r="B5" s="2" t="s">
        <v>19</v>
      </c>
      <c r="C5" s="2" t="s">
        <v>20</v>
      </c>
      <c r="D5" s="3">
        <v>2400000</v>
      </c>
      <c r="E5" s="3">
        <v>4</v>
      </c>
      <c r="F5" s="3">
        <v>200000</v>
      </c>
      <c r="G5" s="3">
        <v>10000</v>
      </c>
      <c r="H5" s="3">
        <v>12500</v>
      </c>
      <c r="I5" s="3">
        <v>50000</v>
      </c>
      <c r="J5" s="3">
        <v>2650000</v>
      </c>
      <c r="K5" s="3">
        <v>106000</v>
      </c>
      <c r="L5" s="3">
        <v>106000</v>
      </c>
      <c r="M5" s="3">
        <v>2438000</v>
      </c>
    </row>
    <row r="6" spans="1:13" x14ac:dyDescent="0.3">
      <c r="A6" s="2">
        <v>1115</v>
      </c>
      <c r="B6" s="2" t="s">
        <v>21</v>
      </c>
      <c r="C6" s="2" t="s">
        <v>22</v>
      </c>
      <c r="D6" s="3">
        <v>2200000</v>
      </c>
      <c r="E6" s="3">
        <v>2</v>
      </c>
      <c r="F6" s="3">
        <v>200000</v>
      </c>
      <c r="G6" s="3">
        <v>9166.6666666666661</v>
      </c>
      <c r="H6" s="3">
        <v>11458.33333333333</v>
      </c>
      <c r="I6" s="3">
        <v>22916.666666666661</v>
      </c>
      <c r="J6" s="3">
        <v>2422916.666666667</v>
      </c>
      <c r="K6" s="3">
        <v>96916.666666666657</v>
      </c>
      <c r="L6" s="3">
        <v>96916.666666666657</v>
      </c>
      <c r="M6" s="3">
        <v>2229083.333333333</v>
      </c>
    </row>
    <row r="7" spans="1:13" x14ac:dyDescent="0.3">
      <c r="A7" s="2">
        <v>1116</v>
      </c>
      <c r="B7" s="2" t="s">
        <v>23</v>
      </c>
      <c r="C7" s="2" t="s">
        <v>24</v>
      </c>
      <c r="D7" s="3">
        <v>2600000</v>
      </c>
      <c r="E7" s="3">
        <v>3</v>
      </c>
      <c r="F7" s="3">
        <v>200000</v>
      </c>
      <c r="G7" s="3">
        <v>10833.33333333333</v>
      </c>
      <c r="H7" s="3">
        <v>13541.66666666667</v>
      </c>
      <c r="I7" s="3">
        <v>40625</v>
      </c>
      <c r="J7" s="3">
        <v>2840625</v>
      </c>
      <c r="K7" s="3">
        <v>113625</v>
      </c>
      <c r="L7" s="3">
        <v>113625</v>
      </c>
      <c r="M7" s="3">
        <v>2613375</v>
      </c>
    </row>
    <row r="8" spans="1:13" x14ac:dyDescent="0.3">
      <c r="A8" s="2">
        <v>1117</v>
      </c>
      <c r="B8" s="2" t="s">
        <v>25</v>
      </c>
      <c r="C8" s="2" t="s">
        <v>26</v>
      </c>
      <c r="D8" s="3">
        <v>4000000</v>
      </c>
      <c r="E8" s="3">
        <v>5</v>
      </c>
      <c r="F8" s="3">
        <v>0</v>
      </c>
      <c r="G8" s="3">
        <v>16666.666666666672</v>
      </c>
      <c r="H8" s="3">
        <v>20833.333333333339</v>
      </c>
      <c r="I8" s="3">
        <v>104166.6666666667</v>
      </c>
      <c r="J8" s="3">
        <v>4104166.666666667</v>
      </c>
      <c r="K8" s="3">
        <v>164166.66666666669</v>
      </c>
      <c r="L8" s="3">
        <v>164166.66666666669</v>
      </c>
      <c r="M8" s="3">
        <v>3775833.333333333</v>
      </c>
    </row>
    <row r="9" spans="1:13" x14ac:dyDescent="0.3">
      <c r="A9" s="2">
        <v>1118</v>
      </c>
      <c r="B9" s="2" t="s">
        <v>27</v>
      </c>
      <c r="C9" s="2" t="s">
        <v>28</v>
      </c>
      <c r="D9" s="3">
        <v>3500000</v>
      </c>
      <c r="E9" s="3">
        <v>2</v>
      </c>
      <c r="F9" s="3">
        <v>0</v>
      </c>
      <c r="G9" s="3">
        <v>14583.33333333333</v>
      </c>
      <c r="H9" s="3">
        <v>18229.166666666672</v>
      </c>
      <c r="I9" s="3">
        <v>36458.333333333343</v>
      </c>
      <c r="J9" s="3">
        <v>3536458.333333333</v>
      </c>
      <c r="K9" s="3">
        <v>141458.33333333331</v>
      </c>
      <c r="L9" s="3">
        <v>141458.33333333331</v>
      </c>
      <c r="M9" s="3">
        <v>3253541.666666667</v>
      </c>
    </row>
    <row r="10" spans="1:13" x14ac:dyDescent="0.3">
      <c r="A10" s="2">
        <v>1119</v>
      </c>
      <c r="B10" s="2" t="s">
        <v>29</v>
      </c>
      <c r="C10" s="2" t="s">
        <v>30</v>
      </c>
      <c r="D10" s="3">
        <v>3800000</v>
      </c>
      <c r="E10" s="3">
        <v>3</v>
      </c>
      <c r="F10" s="3">
        <v>0</v>
      </c>
      <c r="G10" s="3">
        <v>15833.33333333333</v>
      </c>
      <c r="H10" s="3">
        <v>19791.666666666672</v>
      </c>
      <c r="I10" s="3">
        <v>59375</v>
      </c>
      <c r="J10" s="3">
        <v>3859375</v>
      </c>
      <c r="K10" s="3">
        <v>154375</v>
      </c>
      <c r="L10" s="3">
        <v>154375</v>
      </c>
      <c r="M10" s="3">
        <v>3550625</v>
      </c>
    </row>
    <row r="11" spans="1:13" x14ac:dyDescent="0.3">
      <c r="A11" s="2">
        <v>1110</v>
      </c>
      <c r="B11" s="2" t="s">
        <v>31</v>
      </c>
      <c r="C11" s="2" t="s">
        <v>32</v>
      </c>
      <c r="D11" s="3">
        <v>4200000</v>
      </c>
      <c r="E11" s="3">
        <v>1</v>
      </c>
      <c r="F11" s="3">
        <v>0</v>
      </c>
      <c r="G11" s="3">
        <v>17500</v>
      </c>
      <c r="H11" s="3">
        <v>21875</v>
      </c>
      <c r="I11" s="3">
        <v>21875</v>
      </c>
      <c r="J11" s="3">
        <v>4221875</v>
      </c>
      <c r="K11" s="3">
        <v>168875</v>
      </c>
      <c r="L11" s="3">
        <v>168875</v>
      </c>
      <c r="M11" s="3">
        <v>3884125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baseColWidth="10" defaultColWidth="8.88671875" defaultRowHeight="14.4" x14ac:dyDescent="0.3"/>
  <cols>
    <col min="1" max="1" width="22.109375" bestFit="1" customWidth="1"/>
    <col min="2" max="2" width="11" bestFit="1" customWidth="1"/>
  </cols>
  <sheetData>
    <row r="1" spans="1:2" x14ac:dyDescent="0.3">
      <c r="A1" t="s">
        <v>33</v>
      </c>
      <c r="B1" t="s">
        <v>34</v>
      </c>
    </row>
    <row r="2" spans="1:2" x14ac:dyDescent="0.3">
      <c r="A2" t="s">
        <v>35</v>
      </c>
      <c r="B2">
        <f>COUNTA('Nomina Junio 2026'!A2:A11)</f>
        <v>10</v>
      </c>
    </row>
    <row r="3" spans="1:2" x14ac:dyDescent="0.3">
      <c r="A3" t="s">
        <v>36</v>
      </c>
      <c r="B3">
        <f>SUM('Nomina Junio 2026'!M2:M11)</f>
        <v>29826687.5</v>
      </c>
    </row>
    <row r="4" spans="1:2" x14ac:dyDescent="0.3">
      <c r="A4" t="s">
        <v>37</v>
      </c>
      <c r="B4">
        <f>SUM('Nomina Junio 2026'!K2:K11)</f>
        <v>1296812.5</v>
      </c>
    </row>
    <row r="5" spans="1:2" x14ac:dyDescent="0.3">
      <c r="A5" t="s">
        <v>38</v>
      </c>
      <c r="B5">
        <f>SUM('Nomina Junio 2026'!L2:L11)</f>
        <v>1296812.5</v>
      </c>
    </row>
    <row r="6" spans="1:2" x14ac:dyDescent="0.3">
      <c r="A6" t="s">
        <v>39</v>
      </c>
      <c r="B6">
        <f>MAX('Nomina Junio 2026'!D2:D11)</f>
        <v>4200000</v>
      </c>
    </row>
    <row r="7" spans="1:2" x14ac:dyDescent="0.3">
      <c r="A7" t="s">
        <v>40</v>
      </c>
      <c r="B7">
        <f>AVERAGE('Nomina Junio 2026'!D2:D11)</f>
        <v>3100000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Nomina Junio 2026</vt:lpstr>
      <vt:lpstr>Resumen Gerencial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Zaidy Fuentes</cp:lastModifiedBy>
  <dcterms:created xsi:type="dcterms:W3CDTF">2026-06-30T03:06:30Z</dcterms:created>
  <dcterms:modified xsi:type="dcterms:W3CDTF">2026-06-30T04:27:32Z</dcterms:modified>
</cp:coreProperties>
</file>